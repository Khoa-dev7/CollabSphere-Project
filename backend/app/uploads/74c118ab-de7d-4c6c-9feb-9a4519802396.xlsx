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0. BAI TAP E LEARNING\THCB\"/>
    </mc:Choice>
  </mc:AlternateContent>
  <bookViews>
    <workbookView xWindow="-105" yWindow="-105" windowWidth="21795" windowHeight="12975" activeTab="2"/>
  </bookViews>
  <sheets>
    <sheet name="DU_LIEU" sheetId="7" r:id="rId1"/>
    <sheet name="BANG_DO" sheetId="8" r:id="rId2"/>
    <sheet name="TRICH_LOC" sheetId="9" r:id="rId3"/>
    <sheet name="SAP_XEP" sheetId="10" r:id="rId4"/>
    <sheet name="THONG_KE" sheetId="11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7" l="1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3" i="7"/>
</calcChain>
</file>

<file path=xl/sharedStrings.xml><?xml version="1.0" encoding="utf-8"?>
<sst xmlns="http://schemas.openxmlformats.org/spreadsheetml/2006/main" count="92" uniqueCount="70">
  <si>
    <t>Đỗ Thị Hằng</t>
  </si>
  <si>
    <t>Nguyễn Văn Tài</t>
  </si>
  <si>
    <t>Trần Anh Việt</t>
  </si>
  <si>
    <t>Nguyễn Thành Long</t>
  </si>
  <si>
    <t>Vương Thanh Ngân</t>
  </si>
  <si>
    <t>Phạm Thanh Tú</t>
  </si>
  <si>
    <t>Vũ Tuấn Hùng</t>
  </si>
  <si>
    <t>Hoàng Đức Công</t>
  </si>
  <si>
    <t>Trịnh Bảo Ngọc</t>
  </si>
  <si>
    <t>Mai Thành Huy</t>
  </si>
  <si>
    <t>Phạm Quân Thạch</t>
  </si>
  <si>
    <t>Mã vé</t>
  </si>
  <si>
    <t>Hành khách</t>
  </si>
  <si>
    <t>Tuyến bay</t>
  </si>
  <si>
    <t>Giá vé</t>
  </si>
  <si>
    <t>Hành lý (kg)</t>
  </si>
  <si>
    <t>BK-2B</t>
  </si>
  <si>
    <t>TK-1E</t>
  </si>
  <si>
    <t>BK-1E</t>
  </si>
  <si>
    <t>HK-2B</t>
  </si>
  <si>
    <t>TK-2B</t>
  </si>
  <si>
    <t>TK-1B</t>
  </si>
  <si>
    <t>HK-1E</t>
  </si>
  <si>
    <t>BK-2E</t>
  </si>
  <si>
    <t>Trần Thành An</t>
  </si>
  <si>
    <t>Lê Bảo Xuân</t>
  </si>
  <si>
    <t>Lý Ánh Mai</t>
  </si>
  <si>
    <t>Trần Kim Duyên</t>
  </si>
  <si>
    <t>Vũ Thu Hạ</t>
  </si>
  <si>
    <t>Trần Anh Bảo</t>
  </si>
  <si>
    <t>Lâm Bách Tiến</t>
  </si>
  <si>
    <t>Nguyễn Nhật Hào</t>
  </si>
  <si>
    <t>Lý Vinh Quang</t>
  </si>
  <si>
    <t>Một chiều</t>
  </si>
  <si>
    <t>Khứ hồi</t>
  </si>
  <si>
    <t>BK</t>
  </si>
  <si>
    <t>TK</t>
  </si>
  <si>
    <t>Tokyo</t>
  </si>
  <si>
    <t>HK</t>
  </si>
  <si>
    <t>Hong Kong</t>
  </si>
  <si>
    <t>Bang Kok</t>
  </si>
  <si>
    <t>BẢNG TRA</t>
  </si>
  <si>
    <t>Phí (VNĐ)</t>
  </si>
  <si>
    <t>CƯỚC PHÍ</t>
  </si>
  <si>
    <t>TT</t>
  </si>
  <si>
    <t>Ghi chú</t>
  </si>
  <si>
    <t>DANH SÁCH HÀNH KHÁCH ĐƯỜNG BAY TỪ TP HỒ CHÍ MINH ĐI CHÂU Á</t>
  </si>
  <si>
    <t xml:space="preserve">Mô tả mã vé: </t>
  </si>
  <si>
    <t>- Ký tự thứ 4: 1 là vé 1 chiều, 2 là vé khứ hồi</t>
  </si>
  <si>
    <t>- Ký tự cuối: E là hạng phổ thông, B là hạng thương gia</t>
  </si>
  <si>
    <t>Giá vé hạng phổ thông (VNĐ)</t>
  </si>
  <si>
    <t>Giá vé hạng thương gia (VNĐ)</t>
  </si>
  <si>
    <t>- Hai ký tự đầu là mã tuyến bay</t>
  </si>
  <si>
    <t>Yêu cầu</t>
  </si>
  <si>
    <t>5. Cột Ghi chú: nếu hành khách đi khứ hồi và hạng thương gia thì được Voucher đánh golf, còn lại để trống</t>
  </si>
  <si>
    <t>Mã tuyến bay</t>
  </si>
  <si>
    <t>Tổng tiền</t>
  </si>
  <si>
    <t>4. Tổng tiền = giá vé + phí, làm tròn đến hàng ngàn và định dạng VND</t>
  </si>
  <si>
    <t>BẢNG THỐNG KÊ</t>
  </si>
  <si>
    <t>Số lượng khách</t>
  </si>
  <si>
    <t>Vẽ đồ thị</t>
  </si>
  <si>
    <r>
      <t>1. Dựa vào mã vé và bảng tra ở sheet [</t>
    </r>
    <r>
      <rPr>
        <b/>
        <sz val="13"/>
        <color theme="1"/>
        <rFont val="Times New Roman"/>
        <family val="1"/>
      </rPr>
      <t>BANG_DO]</t>
    </r>
    <r>
      <rPr>
        <sz val="13"/>
        <color theme="1"/>
        <rFont val="Times New Roman"/>
        <family val="1"/>
      </rPr>
      <t>, điền cho cột tuyến bay</t>
    </r>
  </si>
  <si>
    <r>
      <t xml:space="preserve">2. Dựa vào mã vé và bảng tra ở sheet  </t>
    </r>
    <r>
      <rPr>
        <b/>
        <sz val="13"/>
        <color theme="1"/>
        <rFont val="Times New Roman"/>
        <family val="1"/>
      </rPr>
      <t>[BANG_DO]</t>
    </r>
    <r>
      <rPr>
        <sz val="13"/>
        <color theme="1"/>
        <rFont val="Times New Roman"/>
        <family val="1"/>
      </rPr>
      <t>, điền cho cột giá vé</t>
    </r>
  </si>
  <si>
    <r>
      <t xml:space="preserve">3. Dựa vào hành lý và bảng tra ở sheet </t>
    </r>
    <r>
      <rPr>
        <b/>
        <sz val="13"/>
        <color theme="1"/>
        <rFont val="Times New Roman"/>
        <family val="1"/>
      </rPr>
      <t xml:space="preserve"> [BANG_DO]</t>
    </r>
    <r>
      <rPr>
        <sz val="13"/>
        <color theme="1"/>
        <rFont val="Times New Roman"/>
        <family val="1"/>
      </rPr>
      <t>, điền cho cột phí</t>
    </r>
  </si>
  <si>
    <r>
      <t>6. Ở sheet</t>
    </r>
    <r>
      <rPr>
        <b/>
        <sz val="13"/>
        <color theme="1"/>
        <rFont val="Times New Roman"/>
        <family val="1"/>
      </rPr>
      <t xml:space="preserve"> [TRICH_LOC]</t>
    </r>
    <r>
      <rPr>
        <sz val="13"/>
        <color theme="1"/>
        <rFont val="Times New Roman"/>
        <family val="1"/>
      </rPr>
      <t>, rút trích danh sách những người đi Bang Kok và hạng thương gia</t>
    </r>
  </si>
  <si>
    <r>
      <t xml:space="preserve">8. Ở sheet </t>
    </r>
    <r>
      <rPr>
        <b/>
        <sz val="13"/>
        <color theme="1"/>
        <rFont val="Times New Roman"/>
        <family val="1"/>
      </rPr>
      <t>[THONG_KE]</t>
    </r>
    <r>
      <rPr>
        <sz val="13"/>
        <color theme="1"/>
        <rFont val="Times New Roman"/>
        <family val="1"/>
      </rPr>
      <t xml:space="preserve">, dựa vào dữ liệu ở sheet </t>
    </r>
    <r>
      <rPr>
        <b/>
        <sz val="13"/>
        <color theme="1"/>
        <rFont val="Times New Roman"/>
        <family val="1"/>
      </rPr>
      <t>[DU_LIEU]</t>
    </r>
    <r>
      <rPr>
        <sz val="13"/>
        <color theme="1"/>
        <rFont val="Times New Roman"/>
        <family val="1"/>
      </rPr>
      <t xml:space="preserve"> làm bảng thống kê theo mẫu</t>
    </r>
  </si>
  <si>
    <r>
      <t xml:space="preserve">9. Dựa vào bảng thống kê ở sheet </t>
    </r>
    <r>
      <rPr>
        <b/>
        <sz val="13"/>
        <color theme="1"/>
        <rFont val="Times New Roman"/>
        <family val="1"/>
      </rPr>
      <t>[THONG_KE]</t>
    </r>
    <r>
      <rPr>
        <sz val="13"/>
        <color theme="1"/>
        <rFont val="Times New Roman"/>
        <family val="1"/>
      </rPr>
      <t xml:space="preserve"> vẽ đồ thị dạng Pie có gán tỷ lệ phần trăm</t>
    </r>
  </si>
  <si>
    <r>
      <t>7. Copy dữ liệu từ sheet</t>
    </r>
    <r>
      <rPr>
        <b/>
        <sz val="13"/>
        <color theme="1"/>
        <rFont val="Times New Roman"/>
        <family val="1"/>
      </rPr>
      <t xml:space="preserve"> [DU_LIEU]</t>
    </r>
    <r>
      <rPr>
        <sz val="13"/>
        <color theme="1"/>
        <rFont val="Times New Roman"/>
        <family val="1"/>
      </rPr>
      <t xml:space="preserve"> sang sheet </t>
    </r>
    <r>
      <rPr>
        <b/>
        <sz val="13"/>
        <color theme="1"/>
        <rFont val="Times New Roman"/>
        <family val="1"/>
      </rPr>
      <t>[SAP_XEP]</t>
    </r>
    <r>
      <rPr>
        <sz val="13"/>
        <color theme="1"/>
        <rFont val="Times New Roman"/>
        <family val="1"/>
      </rPr>
      <t xml:space="preserve"> và sắp xếp giảm dần theo thanh toán, nếu trùng nhau thì sắp xếp tăng dần theo tuyến bay</t>
    </r>
  </si>
  <si>
    <t>Để danh sách trích lọc bắt đầu tại ô dấu đỏ, rút trích danh sách những người đi Bang Kok và hạng thương gia</t>
  </si>
  <si>
    <t xml:space="preserve"> Sắp xếp giảm dần theo thanh toán, nếu trùng nhau thì sắp xếp tăng dần theo tuyến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</si>
</sst>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₫_-;\-* #,##0.00\ _₫_-;_-* &quot;-&quot;??\ _₫_-;_-@_-"/>
  </numFmts>
  <fonts count="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quotePrefix="1" applyFont="1"/>
    <xf numFmtId="0" fontId="3" fillId="0" borderId="1" xfId="0" applyFont="1" applyBorder="1" applyAlignment="1">
      <alignment horizontal="centerContinuous" vertical="center"/>
    </xf>
    <xf numFmtId="0" fontId="3" fillId="0" borderId="1" xfId="0" applyFont="1" applyBorder="1" applyAlignment="1">
      <alignment horizontal="centerContinuous"/>
    </xf>
    <xf numFmtId="43" fontId="1" fillId="0" borderId="1" xfId="1" applyFont="1" applyBorder="1"/>
    <xf numFmtId="0" fontId="1" fillId="0" borderId="7" xfId="0" applyFont="1" applyBorder="1" applyAlignment="1">
      <alignment horizontal="center" vertical="center"/>
    </xf>
    <xf numFmtId="0" fontId="1" fillId="0" borderId="7" xfId="0" applyFont="1" applyBorder="1"/>
    <xf numFmtId="0" fontId="1" fillId="0" borderId="6" xfId="0" applyFont="1" applyBorder="1"/>
    <xf numFmtId="0" fontId="0" fillId="0" borderId="0" xfId="0" applyBorder="1"/>
    <xf numFmtId="0" fontId="0" fillId="0" borderId="8" xfId="0" applyBorder="1"/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Continuous"/>
    </xf>
    <xf numFmtId="0" fontId="0" fillId="2" borderId="0" xfId="0" applyFill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37"/>
  <sheetViews>
    <sheetView showGridLines="0" topLeftCell="A17" zoomScaleNormal="100" workbookViewId="0">
      <selection activeCell="C35" sqref="C35"/>
    </sheetView>
  </sheetViews>
  <sheetFormatPr defaultRowHeight="17.100000000000001" customHeight="1" x14ac:dyDescent="0.25"/>
  <cols>
    <col min="1" max="1" width="3.85546875" style="3" bestFit="1" customWidth="1"/>
    <col min="2" max="2" width="15.5703125" style="3" bestFit="1" customWidth="1"/>
    <col min="3" max="3" width="20.85546875" style="1" bestFit="1" customWidth="1"/>
    <col min="4" max="4" width="15.7109375" style="1" customWidth="1"/>
    <col min="5" max="5" width="14.28515625" style="1" customWidth="1"/>
    <col min="6" max="6" width="15.42578125" style="1" customWidth="1"/>
    <col min="7" max="7" width="14.28515625" style="1" customWidth="1"/>
    <col min="8" max="8" width="13.7109375" style="1" customWidth="1"/>
    <col min="9" max="9" width="19.140625" style="1" customWidth="1"/>
    <col min="10" max="10" width="8.85546875" style="1" customWidth="1"/>
    <col min="11" max="11" width="9.140625" style="1"/>
    <col min="12" max="12" width="15.140625" style="1" customWidth="1"/>
    <col min="13" max="16384" width="9.140625" style="1"/>
  </cols>
  <sheetData>
    <row r="1" spans="1:9" s="7" customFormat="1" ht="17.100000000000001" customHeight="1" x14ac:dyDescent="0.25">
      <c r="A1" s="5"/>
      <c r="B1" s="5" t="s">
        <v>46</v>
      </c>
      <c r="C1" s="6"/>
      <c r="D1" s="6"/>
      <c r="E1" s="6"/>
      <c r="F1" s="6"/>
      <c r="G1" s="6"/>
      <c r="H1" s="6"/>
      <c r="I1" s="6"/>
    </row>
    <row r="2" spans="1:9" s="9" customFormat="1" ht="17.100000000000001" customHeight="1" x14ac:dyDescent="0.25">
      <c r="A2" s="8" t="s">
        <v>44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42</v>
      </c>
      <c r="H2" s="8" t="s">
        <v>56</v>
      </c>
      <c r="I2" s="8" t="s">
        <v>45</v>
      </c>
    </row>
    <row r="3" spans="1:9" ht="17.100000000000001" customHeight="1" x14ac:dyDescent="0.25">
      <c r="A3" s="4">
        <f>ROW()-2</f>
        <v>1</v>
      </c>
      <c r="B3" s="4" t="s">
        <v>16</v>
      </c>
      <c r="C3" s="2" t="s">
        <v>24</v>
      </c>
      <c r="D3" s="2"/>
      <c r="E3" s="2"/>
      <c r="F3" s="2">
        <v>23</v>
      </c>
      <c r="G3" s="2"/>
      <c r="H3" s="2"/>
      <c r="I3" s="2"/>
    </row>
    <row r="4" spans="1:9" ht="17.100000000000001" customHeight="1" x14ac:dyDescent="0.25">
      <c r="A4" s="4">
        <f t="shared" ref="A4:A22" si="0">ROW()-2</f>
        <v>2</v>
      </c>
      <c r="B4" s="4" t="s">
        <v>17</v>
      </c>
      <c r="C4" s="2" t="s">
        <v>25</v>
      </c>
      <c r="D4" s="2"/>
      <c r="E4" s="2"/>
      <c r="F4" s="2">
        <v>18</v>
      </c>
      <c r="G4" s="2"/>
      <c r="H4" s="2"/>
      <c r="I4" s="2"/>
    </row>
    <row r="5" spans="1:9" ht="17.100000000000001" customHeight="1" x14ac:dyDescent="0.25">
      <c r="A5" s="4">
        <f t="shared" si="0"/>
        <v>3</v>
      </c>
      <c r="B5" s="4" t="s">
        <v>18</v>
      </c>
      <c r="C5" s="2" t="s">
        <v>26</v>
      </c>
      <c r="D5" s="2"/>
      <c r="E5" s="2"/>
      <c r="F5" s="2">
        <v>37</v>
      </c>
      <c r="G5" s="2"/>
      <c r="H5" s="2"/>
      <c r="I5" s="2"/>
    </row>
    <row r="6" spans="1:9" ht="17.100000000000001" customHeight="1" x14ac:dyDescent="0.25">
      <c r="A6" s="4">
        <f t="shared" si="0"/>
        <v>4</v>
      </c>
      <c r="B6" s="4" t="s">
        <v>19</v>
      </c>
      <c r="C6" s="2" t="s">
        <v>27</v>
      </c>
      <c r="D6" s="2"/>
      <c r="E6" s="2"/>
      <c r="F6" s="2">
        <v>45</v>
      </c>
      <c r="G6" s="2"/>
      <c r="H6" s="2"/>
      <c r="I6" s="2"/>
    </row>
    <row r="7" spans="1:9" ht="17.100000000000001" customHeight="1" x14ac:dyDescent="0.25">
      <c r="A7" s="4">
        <f t="shared" si="0"/>
        <v>5</v>
      </c>
      <c r="B7" s="4" t="s">
        <v>16</v>
      </c>
      <c r="C7" s="2" t="s">
        <v>28</v>
      </c>
      <c r="D7" s="2"/>
      <c r="E7" s="2"/>
      <c r="F7" s="2">
        <v>16</v>
      </c>
      <c r="G7" s="2"/>
      <c r="H7" s="2"/>
      <c r="I7" s="2"/>
    </row>
    <row r="8" spans="1:9" ht="17.100000000000001" customHeight="1" x14ac:dyDescent="0.25">
      <c r="A8" s="4">
        <f t="shared" si="0"/>
        <v>6</v>
      </c>
      <c r="B8" s="4" t="s">
        <v>20</v>
      </c>
      <c r="C8" s="2" t="s">
        <v>29</v>
      </c>
      <c r="D8" s="2"/>
      <c r="E8" s="2"/>
      <c r="F8" s="2">
        <v>37</v>
      </c>
      <c r="G8" s="2"/>
      <c r="H8" s="2"/>
      <c r="I8" s="2"/>
    </row>
    <row r="9" spans="1:9" ht="17.100000000000001" customHeight="1" x14ac:dyDescent="0.25">
      <c r="A9" s="4">
        <f t="shared" si="0"/>
        <v>7</v>
      </c>
      <c r="B9" s="4" t="s">
        <v>21</v>
      </c>
      <c r="C9" s="2" t="s">
        <v>30</v>
      </c>
      <c r="D9" s="2"/>
      <c r="E9" s="2"/>
      <c r="F9" s="2">
        <v>41</v>
      </c>
      <c r="G9" s="2"/>
      <c r="H9" s="2"/>
      <c r="I9" s="2"/>
    </row>
    <row r="10" spans="1:9" ht="17.100000000000001" customHeight="1" x14ac:dyDescent="0.25">
      <c r="A10" s="4">
        <f t="shared" si="0"/>
        <v>8</v>
      </c>
      <c r="B10" s="4" t="s">
        <v>22</v>
      </c>
      <c r="C10" s="2" t="s">
        <v>31</v>
      </c>
      <c r="D10" s="2"/>
      <c r="E10" s="2"/>
      <c r="F10" s="2">
        <v>13</v>
      </c>
      <c r="G10" s="2"/>
      <c r="H10" s="2"/>
      <c r="I10" s="2"/>
    </row>
    <row r="11" spans="1:9" ht="17.100000000000001" customHeight="1" x14ac:dyDescent="0.25">
      <c r="A11" s="4">
        <f t="shared" si="0"/>
        <v>9</v>
      </c>
      <c r="B11" s="4" t="s">
        <v>23</v>
      </c>
      <c r="C11" s="2" t="s">
        <v>32</v>
      </c>
      <c r="D11" s="2"/>
      <c r="E11" s="2"/>
      <c r="F11" s="2">
        <v>25</v>
      </c>
      <c r="G11" s="2"/>
      <c r="H11" s="2"/>
      <c r="I11" s="2"/>
    </row>
    <row r="12" spans="1:9" ht="17.100000000000001" customHeight="1" x14ac:dyDescent="0.25">
      <c r="A12" s="4">
        <f t="shared" si="0"/>
        <v>10</v>
      </c>
      <c r="B12" s="4" t="s">
        <v>16</v>
      </c>
      <c r="C12" s="2" t="s">
        <v>6</v>
      </c>
      <c r="D12" s="2"/>
      <c r="E12" s="2"/>
      <c r="F12" s="2">
        <v>90</v>
      </c>
      <c r="G12" s="2"/>
      <c r="H12" s="2"/>
      <c r="I12" s="2"/>
    </row>
    <row r="13" spans="1:9" ht="17.100000000000001" customHeight="1" x14ac:dyDescent="0.25">
      <c r="A13" s="4">
        <f t="shared" si="0"/>
        <v>11</v>
      </c>
      <c r="B13" s="4" t="s">
        <v>17</v>
      </c>
      <c r="C13" s="2" t="s">
        <v>7</v>
      </c>
      <c r="D13" s="2"/>
      <c r="E13" s="2"/>
      <c r="F13" s="2">
        <v>25</v>
      </c>
      <c r="G13" s="2"/>
      <c r="H13" s="2"/>
      <c r="I13" s="2"/>
    </row>
    <row r="14" spans="1:9" ht="17.100000000000001" customHeight="1" x14ac:dyDescent="0.25">
      <c r="A14" s="4">
        <f t="shared" si="0"/>
        <v>12</v>
      </c>
      <c r="B14" s="4" t="s">
        <v>18</v>
      </c>
      <c r="C14" s="2" t="s">
        <v>8</v>
      </c>
      <c r="D14" s="2"/>
      <c r="E14" s="2"/>
      <c r="F14" s="2">
        <v>63</v>
      </c>
      <c r="G14" s="2"/>
      <c r="H14" s="2"/>
      <c r="I14" s="2"/>
    </row>
    <row r="15" spans="1:9" ht="17.100000000000001" customHeight="1" x14ac:dyDescent="0.25">
      <c r="A15" s="4">
        <f t="shared" si="0"/>
        <v>13</v>
      </c>
      <c r="B15" s="4" t="s">
        <v>19</v>
      </c>
      <c r="C15" s="2" t="s">
        <v>9</v>
      </c>
      <c r="D15" s="2"/>
      <c r="E15" s="2"/>
      <c r="F15" s="2">
        <v>3</v>
      </c>
      <c r="G15" s="2"/>
      <c r="H15" s="2"/>
      <c r="I15" s="2"/>
    </row>
    <row r="16" spans="1:9" ht="17.100000000000001" customHeight="1" x14ac:dyDescent="0.25">
      <c r="A16" s="4">
        <f t="shared" si="0"/>
        <v>14</v>
      </c>
      <c r="B16" s="4" t="s">
        <v>16</v>
      </c>
      <c r="C16" s="2" t="s">
        <v>10</v>
      </c>
      <c r="D16" s="2"/>
      <c r="E16" s="2"/>
      <c r="F16" s="2">
        <v>43</v>
      </c>
      <c r="G16" s="2"/>
      <c r="H16" s="2"/>
      <c r="I16" s="2"/>
    </row>
    <row r="17" spans="1:9" ht="17.100000000000001" customHeight="1" x14ac:dyDescent="0.25">
      <c r="A17" s="4">
        <f t="shared" si="0"/>
        <v>15</v>
      </c>
      <c r="B17" s="4" t="s">
        <v>20</v>
      </c>
      <c r="C17" s="2" t="s">
        <v>0</v>
      </c>
      <c r="D17" s="2"/>
      <c r="E17" s="2"/>
      <c r="F17" s="2">
        <v>15</v>
      </c>
      <c r="G17" s="2"/>
      <c r="H17" s="2"/>
      <c r="I17" s="2"/>
    </row>
    <row r="18" spans="1:9" ht="17.100000000000001" customHeight="1" x14ac:dyDescent="0.25">
      <c r="A18" s="4">
        <f t="shared" si="0"/>
        <v>16</v>
      </c>
      <c r="B18" s="4" t="s">
        <v>21</v>
      </c>
      <c r="C18" s="2" t="s">
        <v>1</v>
      </c>
      <c r="D18" s="2"/>
      <c r="E18" s="2"/>
      <c r="F18" s="2">
        <v>27</v>
      </c>
      <c r="G18" s="2"/>
      <c r="H18" s="2"/>
      <c r="I18" s="2"/>
    </row>
    <row r="19" spans="1:9" ht="17.100000000000001" customHeight="1" x14ac:dyDescent="0.25">
      <c r="A19" s="4">
        <f t="shared" si="0"/>
        <v>17</v>
      </c>
      <c r="B19" s="4" t="s">
        <v>22</v>
      </c>
      <c r="C19" s="2" t="s">
        <v>2</v>
      </c>
      <c r="D19" s="2"/>
      <c r="E19" s="2"/>
      <c r="F19" s="2">
        <v>92</v>
      </c>
      <c r="G19" s="2"/>
      <c r="H19" s="2"/>
      <c r="I19" s="2"/>
    </row>
    <row r="20" spans="1:9" ht="17.100000000000001" customHeight="1" x14ac:dyDescent="0.25">
      <c r="A20" s="4">
        <f t="shared" si="0"/>
        <v>18</v>
      </c>
      <c r="B20" s="4" t="s">
        <v>23</v>
      </c>
      <c r="C20" s="2" t="s">
        <v>3</v>
      </c>
      <c r="D20" s="2"/>
      <c r="E20" s="2"/>
      <c r="F20" s="2">
        <v>27</v>
      </c>
      <c r="G20" s="2"/>
      <c r="H20" s="2"/>
      <c r="I20" s="2"/>
    </row>
    <row r="21" spans="1:9" ht="17.100000000000001" customHeight="1" x14ac:dyDescent="0.25">
      <c r="A21" s="4">
        <f t="shared" si="0"/>
        <v>19</v>
      </c>
      <c r="B21" s="4" t="s">
        <v>17</v>
      </c>
      <c r="C21" s="2" t="s">
        <v>4</v>
      </c>
      <c r="D21" s="2"/>
      <c r="E21" s="2"/>
      <c r="F21" s="2">
        <v>65</v>
      </c>
      <c r="G21" s="2"/>
      <c r="H21" s="2"/>
      <c r="I21" s="2"/>
    </row>
    <row r="22" spans="1:9" ht="17.100000000000001" customHeight="1" x14ac:dyDescent="0.25">
      <c r="A22" s="4">
        <f t="shared" si="0"/>
        <v>20</v>
      </c>
      <c r="B22" s="4" t="s">
        <v>18</v>
      </c>
      <c r="C22" s="2" t="s">
        <v>5</v>
      </c>
      <c r="D22" s="2"/>
      <c r="E22" s="2"/>
      <c r="F22" s="2">
        <v>72</v>
      </c>
      <c r="G22" s="2"/>
      <c r="H22" s="2"/>
      <c r="I22" s="2"/>
    </row>
    <row r="24" spans="1:9" ht="17.100000000000001" customHeight="1" x14ac:dyDescent="0.25">
      <c r="B24" s="9" t="s">
        <v>47</v>
      </c>
    </row>
    <row r="25" spans="1:9" ht="17.100000000000001" customHeight="1" x14ac:dyDescent="0.25">
      <c r="C25" s="10" t="s">
        <v>52</v>
      </c>
    </row>
    <row r="26" spans="1:9" ht="17.100000000000001" customHeight="1" x14ac:dyDescent="0.25">
      <c r="C26" s="10" t="s">
        <v>48</v>
      </c>
    </row>
    <row r="27" spans="1:9" ht="17.100000000000001" customHeight="1" x14ac:dyDescent="0.25">
      <c r="C27" s="10" t="s">
        <v>49</v>
      </c>
    </row>
    <row r="28" spans="1:9" ht="17.100000000000001" customHeight="1" x14ac:dyDescent="0.25">
      <c r="B28" s="3" t="s">
        <v>53</v>
      </c>
    </row>
    <row r="29" spans="1:9" ht="17.100000000000001" customHeight="1" x14ac:dyDescent="0.25">
      <c r="C29" s="1" t="s">
        <v>61</v>
      </c>
    </row>
    <row r="30" spans="1:9" ht="17.100000000000001" customHeight="1" x14ac:dyDescent="0.25">
      <c r="C30" s="19" t="s">
        <v>62</v>
      </c>
    </row>
    <row r="31" spans="1:9" ht="17.100000000000001" customHeight="1" x14ac:dyDescent="0.25">
      <c r="C31" s="1" t="s">
        <v>63</v>
      </c>
    </row>
    <row r="32" spans="1:9" ht="17.100000000000001" customHeight="1" x14ac:dyDescent="0.25">
      <c r="C32" s="1" t="s">
        <v>57</v>
      </c>
    </row>
    <row r="33" spans="3:3" ht="17.100000000000001" customHeight="1" x14ac:dyDescent="0.25">
      <c r="C33" s="1" t="s">
        <v>54</v>
      </c>
    </row>
    <row r="34" spans="3:3" ht="17.100000000000001" customHeight="1" x14ac:dyDescent="0.25">
      <c r="C34" s="1" t="s">
        <v>64</v>
      </c>
    </row>
    <row r="35" spans="3:3" ht="17.100000000000001" customHeight="1" x14ac:dyDescent="0.25">
      <c r="C35" s="1" t="s">
        <v>67</v>
      </c>
    </row>
    <row r="36" spans="3:3" ht="17.100000000000001" customHeight="1" x14ac:dyDescent="0.25">
      <c r="C36" s="1" t="s">
        <v>65</v>
      </c>
    </row>
    <row r="37" spans="3:3" ht="17.100000000000001" customHeight="1" x14ac:dyDescent="0.25">
      <c r="C37" s="1" t="s">
        <v>66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8"/>
  <sheetViews>
    <sheetView workbookViewId="0">
      <selection activeCell="C20" sqref="C20"/>
    </sheetView>
  </sheetViews>
  <sheetFormatPr defaultRowHeight="15" x14ac:dyDescent="0.25"/>
  <cols>
    <col min="1" max="1" width="15.28515625" bestFit="1" customWidth="1"/>
    <col min="2" max="2" width="12.5703125" customWidth="1"/>
    <col min="3" max="4" width="18.42578125" bestFit="1" customWidth="1"/>
    <col min="5" max="5" width="19.7109375" bestFit="1" customWidth="1"/>
    <col min="6" max="6" width="24.140625" customWidth="1"/>
    <col min="7" max="7" width="15" customWidth="1"/>
    <col min="8" max="8" width="17.28515625" customWidth="1"/>
  </cols>
  <sheetData>
    <row r="1" spans="1:10" ht="16.5" x14ac:dyDescent="0.25">
      <c r="A1" s="11" t="s">
        <v>41</v>
      </c>
      <c r="B1" s="12"/>
      <c r="C1" s="12"/>
      <c r="D1" s="12"/>
      <c r="E1" s="12"/>
      <c r="F1" s="12"/>
      <c r="G1" s="12"/>
      <c r="H1" s="12"/>
      <c r="J1" s="1"/>
    </row>
    <row r="2" spans="1:10" ht="16.5" x14ac:dyDescent="0.25">
      <c r="A2" s="26" t="s">
        <v>55</v>
      </c>
      <c r="B2" s="26" t="s">
        <v>13</v>
      </c>
      <c r="C2" s="24" t="s">
        <v>50</v>
      </c>
      <c r="D2" s="25"/>
      <c r="E2" s="24" t="s">
        <v>51</v>
      </c>
      <c r="F2" s="25"/>
      <c r="G2" s="23" t="s">
        <v>43</v>
      </c>
      <c r="H2" s="23"/>
    </row>
    <row r="3" spans="1:10" ht="16.5" x14ac:dyDescent="0.25">
      <c r="A3" s="27"/>
      <c r="B3" s="27"/>
      <c r="C3" s="8" t="s">
        <v>33</v>
      </c>
      <c r="D3" s="8" t="s">
        <v>34</v>
      </c>
      <c r="E3" s="8" t="s">
        <v>33</v>
      </c>
      <c r="F3" s="8" t="s">
        <v>34</v>
      </c>
      <c r="G3" s="8" t="s">
        <v>15</v>
      </c>
      <c r="H3" s="8" t="s">
        <v>42</v>
      </c>
    </row>
    <row r="4" spans="1:10" ht="16.5" x14ac:dyDescent="0.25">
      <c r="A4" s="4" t="s">
        <v>35</v>
      </c>
      <c r="B4" s="2" t="s">
        <v>40</v>
      </c>
      <c r="C4" s="13">
        <v>2298000</v>
      </c>
      <c r="D4" s="13">
        <v>4500000</v>
      </c>
      <c r="E4" s="13">
        <v>5745000</v>
      </c>
      <c r="F4" s="13">
        <v>11250000</v>
      </c>
      <c r="G4" s="2">
        <v>1</v>
      </c>
      <c r="H4" s="13">
        <v>180000</v>
      </c>
    </row>
    <row r="5" spans="1:10" ht="16.5" x14ac:dyDescent="0.25">
      <c r="A5" s="4" t="s">
        <v>36</v>
      </c>
      <c r="B5" s="2" t="s">
        <v>37</v>
      </c>
      <c r="C5" s="13">
        <v>2581000</v>
      </c>
      <c r="D5" s="13">
        <v>4900000</v>
      </c>
      <c r="E5" s="13">
        <v>6452500</v>
      </c>
      <c r="F5" s="13">
        <v>12250000</v>
      </c>
      <c r="G5" s="2">
        <v>20</v>
      </c>
      <c r="H5" s="13">
        <v>360000</v>
      </c>
    </row>
    <row r="6" spans="1:10" ht="16.5" x14ac:dyDescent="0.25">
      <c r="A6" s="4" t="s">
        <v>38</v>
      </c>
      <c r="B6" s="2" t="s">
        <v>39</v>
      </c>
      <c r="C6" s="13">
        <v>4249000</v>
      </c>
      <c r="D6" s="13">
        <v>7500000</v>
      </c>
      <c r="E6" s="13">
        <v>10622500</v>
      </c>
      <c r="F6" s="13">
        <v>18750000</v>
      </c>
      <c r="G6" s="2">
        <v>30</v>
      </c>
      <c r="H6" s="13">
        <v>540000</v>
      </c>
    </row>
    <row r="7" spans="1:10" ht="16.5" x14ac:dyDescent="0.25">
      <c r="A7" s="14"/>
      <c r="B7" s="15"/>
      <c r="C7" s="15"/>
      <c r="D7" s="15"/>
      <c r="E7" s="15"/>
      <c r="F7" s="16"/>
      <c r="G7" s="2">
        <v>40</v>
      </c>
      <c r="H7" s="13">
        <v>720000</v>
      </c>
      <c r="I7" s="1"/>
      <c r="J7" s="1"/>
    </row>
    <row r="8" spans="1:10" ht="16.5" x14ac:dyDescent="0.25">
      <c r="A8" s="17"/>
      <c r="B8" s="17"/>
      <c r="C8" s="17"/>
      <c r="D8" s="17"/>
      <c r="E8" s="17"/>
      <c r="F8" s="18"/>
      <c r="G8" s="2">
        <v>50</v>
      </c>
      <c r="H8" s="13">
        <v>900000</v>
      </c>
    </row>
  </sheetData>
  <mergeCells count="5">
    <mergeCell ref="G2:H2"/>
    <mergeCell ref="C2:D2"/>
    <mergeCell ref="A2:A3"/>
    <mergeCell ref="B2:B3"/>
    <mergeCell ref="E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5"/>
  <sheetViews>
    <sheetView tabSelected="1" workbookViewId="0">
      <selection activeCell="E11" sqref="E11"/>
    </sheetView>
  </sheetViews>
  <sheetFormatPr defaultRowHeight="15" x14ac:dyDescent="0.25"/>
  <sheetData>
    <row r="1" spans="1:2" s="1" customFormat="1" ht="16.5" x14ac:dyDescent="0.25">
      <c r="A1" s="1" t="s">
        <v>68</v>
      </c>
    </row>
    <row r="3" spans="1:2" x14ac:dyDescent="0.25">
      <c r="B3" s="28"/>
    </row>
    <row r="5" spans="1:2" x14ac:dyDescent="0.25">
      <c r="B5" s="2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"/>
  <sheetViews>
    <sheetView workbookViewId="0">
      <selection activeCell="E2" sqref="E2"/>
    </sheetView>
  </sheetViews>
  <sheetFormatPr defaultRowHeight="15" x14ac:dyDescent="0.25"/>
  <sheetData>
    <row r="1" spans="1:1" x14ac:dyDescent="0.25">
      <c r="A1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H6"/>
  <sheetViews>
    <sheetView workbookViewId="0">
      <selection activeCell="D12" sqref="D12"/>
    </sheetView>
  </sheetViews>
  <sheetFormatPr defaultRowHeight="16.5" x14ac:dyDescent="0.25"/>
  <cols>
    <col min="1" max="1" width="9.140625" style="1"/>
    <col min="2" max="2" width="15.28515625" style="1" bestFit="1" customWidth="1"/>
    <col min="3" max="3" width="18.28515625" style="1" customWidth="1"/>
    <col min="4" max="4" width="18.140625" style="1" customWidth="1"/>
    <col min="5" max="7" width="9.140625" style="1"/>
    <col min="8" max="8" width="14" style="1" customWidth="1"/>
    <col min="9" max="16384" width="9.140625" style="1"/>
  </cols>
  <sheetData>
    <row r="2" spans="2:8" x14ac:dyDescent="0.25">
      <c r="B2" s="21" t="s">
        <v>58</v>
      </c>
      <c r="C2" s="21"/>
      <c r="D2" s="21"/>
    </row>
    <row r="3" spans="2:8" ht="15" customHeight="1" x14ac:dyDescent="0.25">
      <c r="B3" s="8" t="s">
        <v>55</v>
      </c>
      <c r="C3" s="8" t="s">
        <v>59</v>
      </c>
      <c r="D3" s="20" t="s">
        <v>56</v>
      </c>
      <c r="H3" s="7" t="s">
        <v>60</v>
      </c>
    </row>
    <row r="4" spans="2:8" x14ac:dyDescent="0.25">
      <c r="B4" s="4" t="s">
        <v>35</v>
      </c>
      <c r="C4" s="4"/>
      <c r="D4" s="2"/>
    </row>
    <row r="5" spans="2:8" x14ac:dyDescent="0.25">
      <c r="B5" s="4" t="s">
        <v>36</v>
      </c>
      <c r="C5" s="4"/>
      <c r="D5" s="2"/>
    </row>
    <row r="6" spans="2:8" x14ac:dyDescent="0.25">
      <c r="B6" s="4" t="s">
        <v>38</v>
      </c>
      <c r="C6" s="4"/>
      <c r="D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DU_LIEU</vt:lpstr>
      <vt:lpstr>BANG_DO</vt:lpstr>
      <vt:lpstr>TRICH_LOC</vt:lpstr>
      <vt:lpstr>SAP_XEP</vt:lpstr>
      <vt:lpstr>THONG_KE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Van Thuong</dc:creator>
  <cp:lastModifiedBy>Thach</cp:lastModifiedBy>
  <dcterms:created xsi:type="dcterms:W3CDTF">2024-06-05T09:08:01Z</dcterms:created>
  <dcterms:modified xsi:type="dcterms:W3CDTF">2025-10-30T08:29:35Z</dcterms:modified>
</cp:coreProperties>
</file>